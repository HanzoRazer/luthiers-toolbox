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Year Red Cedar" sheetId="1" state="visible" r:id="rId1"/>
    <sheet xmlns:r="http://schemas.openxmlformats.org/officeDocument/2006/relationships" name="Batch Summary" sheetId="2" state="visible" r:id="rId2"/>
    <sheet xmlns:r="http://schemas.openxmlformats.org/officeDocument/2006/relationships" name="Source Pairing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9C6500"/>
    </font>
    <font>
      <b val="1"/>
      <color rgb="00FFFFFF"/>
    </font>
    <font>
      <color rgb="00008000"/>
    </font>
    <font>
      <color rgb="009C6500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3" fillId="4" borderId="0" pivotButton="0" quotePrefix="0" xfId="0"/>
    <xf numFmtId="164" fontId="0" fillId="0" borderId="0" pivotButton="0" quotePrefix="0" xfId="0"/>
    <xf numFmtId="0" fontId="6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gedRedCedarMeasurements" displayName="AgedRedCedarMeasurements" ref="A4:T21" headerRowCount="1">
  <autoFilter ref="A4:T21"/>
  <tableColumns count="20">
    <tableColumn id="1" name="Sample ID"/>
    <tableColumn id="2" name="Sample Name"/>
    <tableColumn id="3" name="Wood Species / Aging"/>
    <tableColumn id="4" name="Sample Length (mm)"/>
    <tableColumn id="5" name="Sample Width (mm)"/>
    <tableColumn id="6" name="Sample Thickness (mm)"/>
    <tableColumn id="7" name="Sample Mass (g)"/>
    <tableColumn id="8" name="Density (kg/m³)"/>
    <tableColumn id="9" name="Sample Nodal Lines (mm)"/>
    <tableColumn id="10" name="Resonance Frequency (Hz)"/>
    <tableColumn id="11" name="Time Constant (ms)"/>
    <tableColumn id="12" name="Log Decrement"/>
    <tableColumn id="13" name="Q Factor / Sustain"/>
    <tableColumn id="14" name="Fitting (%)"/>
    <tableColumn id="15" name="Young's Modulus / Stiffness (GPa)"/>
    <tableColumn id="16" name="Radiation Coefficient"/>
    <tableColumn id="17" name="Total Recording Length (s)"/>
    <tableColumn id="18" name="Visualized Length (s)"/>
    <tableColumn id="19" name="Peak Amplitude (dBFS)"/>
    <tableColumn id="20" name="Review Notes"/>
  </tableColumns>
  <tableStyleInfo name="TableStyleMedium4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" customWidth="1" min="3" max="3"/>
    <col width="21" customWidth="1" min="4" max="4"/>
    <col width="20" customWidth="1" min="5" max="5"/>
    <col width="24" customWidth="1" min="6" max="6"/>
    <col width="18" customWidth="1" min="7" max="7"/>
    <col width="18" customWidth="1" min="8" max="8"/>
    <col width="26" customWidth="1" min="9" max="9"/>
    <col width="27" customWidth="1" min="10" max="10"/>
    <col width="21" customWidth="1" min="11" max="11"/>
    <col width="16" customWidth="1" min="12" max="12"/>
    <col width="21" customWidth="1" min="13" max="13"/>
    <col width="14" customWidth="1" min="14" max="14"/>
    <col width="30" customWidth="1" min="15" max="15"/>
    <col width="24" customWidth="1" min="16" max="16"/>
    <col width="29" customWidth="1" min="17" max="17"/>
    <col width="24" customWidth="1" min="18" max="18"/>
    <col width="24" customWidth="1" min="19" max="19"/>
    <col width="55" customWidth="1" min="20" max="20"/>
  </cols>
  <sheetData>
    <row r="1" ht="25" customHeight="1">
      <c r="A1" s="1" t="inlineStr">
        <is>
          <t>Maderas Barber MB Sound – 30-Year Naturally Dried Red Cedar</t>
        </is>
      </c>
    </row>
    <row r="2" ht="38" customHeight="1">
      <c r="A2" s="2" t="inlineStr">
        <is>
          <t>Transcribed from 17 paired summary-card and detailed spectral-analysis screenshots (MB specimen IDs 000024–000040). Imported values are green; orange cells identify review notes.</t>
        </is>
      </c>
    </row>
    <row r="4">
      <c r="A4" s="3" t="inlineStr">
        <is>
          <t>Sample ID</t>
        </is>
      </c>
      <c r="B4" s="3" t="inlineStr">
        <is>
          <t>Sample Name</t>
        </is>
      </c>
      <c r="C4" s="3" t="inlineStr">
        <is>
          <t>Wood Species / Aging</t>
        </is>
      </c>
      <c r="D4" s="3" t="inlineStr">
        <is>
          <t>Sample Length (mm)</t>
        </is>
      </c>
      <c r="E4" s="3" t="inlineStr">
        <is>
          <t>Sample Width (mm)</t>
        </is>
      </c>
      <c r="F4" s="3" t="inlineStr">
        <is>
          <t>Sample Thickness (mm)</t>
        </is>
      </c>
      <c r="G4" s="3" t="inlineStr">
        <is>
          <t>Sample Mass (g)</t>
        </is>
      </c>
      <c r="H4" s="3" t="inlineStr">
        <is>
          <t>Density (kg/m³)</t>
        </is>
      </c>
      <c r="I4" s="3" t="inlineStr">
        <is>
          <t>Sample Nodal Lines (mm)</t>
        </is>
      </c>
      <c r="J4" s="3" t="inlineStr">
        <is>
          <t>Resonance Frequency (Hz)</t>
        </is>
      </c>
      <c r="K4" s="3" t="inlineStr">
        <is>
          <t>Time Constant (ms)</t>
        </is>
      </c>
      <c r="L4" s="3" t="inlineStr">
        <is>
          <t>Log Decrement</t>
        </is>
      </c>
      <c r="M4" s="3" t="inlineStr">
        <is>
          <t>Q Factor / Sustain</t>
        </is>
      </c>
      <c r="N4" s="3" t="inlineStr">
        <is>
          <t>Fitting (%)</t>
        </is>
      </c>
      <c r="O4" s="3" t="inlineStr">
        <is>
          <t>Young's Modulus / Stiffness (GPa)</t>
        </is>
      </c>
      <c r="P4" s="3" t="inlineStr">
        <is>
          <t>Radiation Coefficient</t>
        </is>
      </c>
      <c r="Q4" s="3" t="inlineStr">
        <is>
          <t>Total Recording Length (s)</t>
        </is>
      </c>
      <c r="R4" s="3" t="inlineStr">
        <is>
          <t>Visualized Length (s)</t>
        </is>
      </c>
      <c r="S4" s="3" t="inlineStr">
        <is>
          <t>Peak Amplitude (dBFS)</t>
        </is>
      </c>
      <c r="T4" s="3" t="inlineStr">
        <is>
          <t>Review Notes</t>
        </is>
      </c>
    </row>
    <row r="5">
      <c r="A5" s="4" t="inlineStr">
        <is>
          <t>000024</t>
        </is>
      </c>
      <c r="B5" s="4" t="inlineStr">
        <is>
          <t>CA-00002</t>
        </is>
      </c>
      <c r="C5" s="4" t="inlineStr">
        <is>
          <t>30-Year Naturally Dried Red Cedar</t>
        </is>
      </c>
      <c r="D5" s="4" t="n">
        <v>533</v>
      </c>
      <c r="E5" s="4" t="n">
        <v>210</v>
      </c>
      <c r="F5" s="5" t="n">
        <v>4.1</v>
      </c>
      <c r="G5" s="4" t="n">
        <v>142</v>
      </c>
      <c r="H5" s="5" t="n">
        <v>309.4</v>
      </c>
      <c r="I5" s="4" t="n">
        <v>288</v>
      </c>
      <c r="J5" s="5" t="n">
        <v>60.9</v>
      </c>
      <c r="K5" s="5" t="n">
        <v>1160.8</v>
      </c>
      <c r="L5" s="6" t="n">
        <v>0.0141</v>
      </c>
      <c r="M5" s="5" t="n">
        <v>222</v>
      </c>
      <c r="N5" s="5" t="n">
        <v>92.5</v>
      </c>
      <c r="O5" s="5" t="n">
        <v>5.2</v>
      </c>
      <c r="P5" s="5" t="n">
        <v>13.2</v>
      </c>
      <c r="Q5" s="5" t="n">
        <v>42.4</v>
      </c>
      <c r="R5" s="5" t="n">
        <v>6.3</v>
      </c>
      <c r="S5" s="5" t="n">
        <v>-3.1</v>
      </c>
      <c r="T5" s="7" t="inlineStr">
        <is>
          <t>Sample-name prefix is faint; transcribed as displayed.</t>
        </is>
      </c>
    </row>
    <row r="6">
      <c r="A6" s="4" t="inlineStr">
        <is>
          <t>000025</t>
        </is>
      </c>
      <c r="B6" s="4" t="inlineStr">
        <is>
          <t>CA3-0003</t>
        </is>
      </c>
      <c r="C6" s="4" t="inlineStr">
        <is>
          <t>30-Year Naturally Dried Red Cedar</t>
        </is>
      </c>
      <c r="D6" s="4" t="n">
        <v>533</v>
      </c>
      <c r="E6" s="4" t="n">
        <v>210</v>
      </c>
      <c r="F6" s="5" t="n">
        <v>4.2</v>
      </c>
      <c r="G6" s="4" t="n">
        <v>131</v>
      </c>
      <c r="H6" s="5" t="n">
        <v>278.7</v>
      </c>
      <c r="I6" s="4" t="n">
        <v>288</v>
      </c>
      <c r="J6" s="5" t="n">
        <v>60.7</v>
      </c>
      <c r="K6" s="5" t="n">
        <v>1177.7</v>
      </c>
      <c r="L6" s="6" t="n">
        <v>0.014</v>
      </c>
      <c r="M6" s="5" t="n">
        <v>224.7</v>
      </c>
      <c r="N6" s="5" t="n">
        <v>91.40000000000001</v>
      </c>
      <c r="O6" s="5" t="n">
        <v>4.4</v>
      </c>
      <c r="P6" s="5" t="n">
        <v>14.3</v>
      </c>
      <c r="Q6" s="5" t="n">
        <v>33.2</v>
      </c>
      <c r="R6" s="5" t="n">
        <v>5.2</v>
      </c>
      <c r="S6" s="5" t="n">
        <v>-3.4</v>
      </c>
      <c r="T6" s="8" t="inlineStr"/>
    </row>
    <row r="7">
      <c r="A7" s="4" t="inlineStr">
        <is>
          <t>000026</t>
        </is>
      </c>
      <c r="B7" s="4" t="inlineStr">
        <is>
          <t>CA3-0004</t>
        </is>
      </c>
      <c r="C7" s="4" t="inlineStr">
        <is>
          <t>30-Year Naturally Dried Red Cedar</t>
        </is>
      </c>
      <c r="D7" s="4" t="n">
        <v>556</v>
      </c>
      <c r="E7" s="4" t="n">
        <v>206</v>
      </c>
      <c r="F7" s="5" t="n">
        <v>4</v>
      </c>
      <c r="G7" s="4" t="n">
        <v>145</v>
      </c>
      <c r="H7" s="5" t="n">
        <v>316.5</v>
      </c>
      <c r="I7" s="4" t="n">
        <v>300</v>
      </c>
      <c r="J7" s="5" t="n">
        <v>54.3</v>
      </c>
      <c r="K7" s="5" t="n">
        <v>1260.4</v>
      </c>
      <c r="L7" s="6" t="n">
        <v>0.0146</v>
      </c>
      <c r="M7" s="5" t="n">
        <v>214.9</v>
      </c>
      <c r="N7" s="5" t="n">
        <v>93.59999999999999</v>
      </c>
      <c r="O7" s="5" t="n">
        <v>5.2</v>
      </c>
      <c r="P7" s="5" t="n">
        <v>12.9</v>
      </c>
      <c r="Q7" s="5" t="n">
        <v>37.1</v>
      </c>
      <c r="R7" s="5" t="n">
        <v>5.3</v>
      </c>
      <c r="S7" s="5" t="n">
        <v>-4</v>
      </c>
      <c r="T7" s="8" t="inlineStr"/>
    </row>
    <row r="8">
      <c r="A8" s="4" t="inlineStr">
        <is>
          <t>000027</t>
        </is>
      </c>
      <c r="B8" s="4" t="inlineStr">
        <is>
          <t>CA3-0005</t>
        </is>
      </c>
      <c r="C8" s="4" t="inlineStr">
        <is>
          <t>30-Year Naturally Dried Red Cedar</t>
        </is>
      </c>
      <c r="D8" s="4" t="n">
        <v>560</v>
      </c>
      <c r="E8" s="4" t="n">
        <v>205</v>
      </c>
      <c r="F8" s="5" t="n">
        <v>4.1</v>
      </c>
      <c r="G8" s="4" t="n">
        <v>144</v>
      </c>
      <c r="H8" s="5" t="n">
        <v>305.9</v>
      </c>
      <c r="I8" s="4" t="n">
        <v>302</v>
      </c>
      <c r="J8" s="5" t="n">
        <v>55.5</v>
      </c>
      <c r="K8" s="5" t="n">
        <v>1275.5</v>
      </c>
      <c r="L8" s="6" t="n">
        <v>0.0141</v>
      </c>
      <c r="M8" s="5" t="n">
        <v>222.2</v>
      </c>
      <c r="N8" s="5" t="n">
        <v>92.5</v>
      </c>
      <c r="O8" s="5" t="n">
        <v>5.2</v>
      </c>
      <c r="P8" s="5" t="n">
        <v>13.5</v>
      </c>
      <c r="Q8" s="5" t="n">
        <v>44.4</v>
      </c>
      <c r="R8" s="5" t="n">
        <v>6.3</v>
      </c>
      <c r="S8" s="5" t="n">
        <v>-6.8</v>
      </c>
      <c r="T8" s="7" t="inlineStr">
        <is>
          <t>Peak amplitude is visually faint; transcribed as -6.8 dBFS.</t>
        </is>
      </c>
    </row>
    <row r="9">
      <c r="A9" s="4" t="inlineStr">
        <is>
          <t>000028</t>
        </is>
      </c>
      <c r="B9" s="4" t="inlineStr">
        <is>
          <t>CA23-0006</t>
        </is>
      </c>
      <c r="C9" s="4" t="inlineStr">
        <is>
          <t>30-Year Naturally Dried Red Cedar</t>
        </is>
      </c>
      <c r="D9" s="4" t="n">
        <v>566</v>
      </c>
      <c r="E9" s="4" t="n">
        <v>200</v>
      </c>
      <c r="F9" s="5" t="n">
        <v>3.9</v>
      </c>
      <c r="G9" s="4" t="n">
        <v>129</v>
      </c>
      <c r="H9" s="5" t="n">
        <v>292.2</v>
      </c>
      <c r="I9" s="4" t="n">
        <v>306</v>
      </c>
      <c r="J9" s="5" t="n">
        <v>52.3</v>
      </c>
      <c r="K9" s="5" t="n">
        <v>1286.8</v>
      </c>
      <c r="L9" s="6" t="n">
        <v>0.0149</v>
      </c>
      <c r="M9" s="5" t="n">
        <v>211.3</v>
      </c>
      <c r="N9" s="5" t="n">
        <v>92.8</v>
      </c>
      <c r="O9" s="5" t="n">
        <v>5.1</v>
      </c>
      <c r="P9" s="5" t="n">
        <v>14.3</v>
      </c>
      <c r="Q9" s="5" t="n">
        <v>26.6</v>
      </c>
      <c r="R9" s="5" t="n">
        <v>4.5</v>
      </c>
      <c r="S9" s="5" t="n">
        <v>-6.1</v>
      </c>
      <c r="T9" s="8" t="inlineStr"/>
    </row>
    <row r="10">
      <c r="A10" s="4" t="inlineStr">
        <is>
          <t>000029</t>
        </is>
      </c>
      <c r="B10" s="4" t="inlineStr">
        <is>
          <t>CA23-0007</t>
        </is>
      </c>
      <c r="C10" s="4" t="inlineStr">
        <is>
          <t>30-Year Naturally Dried Red Cedar</t>
        </is>
      </c>
      <c r="D10" s="4" t="n">
        <v>567</v>
      </c>
      <c r="E10" s="4" t="n">
        <v>202</v>
      </c>
      <c r="F10" s="5" t="n">
        <v>4</v>
      </c>
      <c r="G10" s="4" t="n">
        <v>136</v>
      </c>
      <c r="H10" s="5" t="n">
        <v>296.9</v>
      </c>
      <c r="I10" s="4" t="n">
        <v>306</v>
      </c>
      <c r="J10" s="5" t="n">
        <v>53</v>
      </c>
      <c r="K10" s="5" t="n">
        <v>1420.3</v>
      </c>
      <c r="L10" s="6" t="n">
        <v>0.0133</v>
      </c>
      <c r="M10" s="5" t="n">
        <v>236.4</v>
      </c>
      <c r="N10" s="5" t="n">
        <v>94.7</v>
      </c>
      <c r="O10" s="5" t="n">
        <v>5.1</v>
      </c>
      <c r="P10" s="5" t="n">
        <v>13.9</v>
      </c>
      <c r="Q10" s="5" t="n">
        <v>25.7</v>
      </c>
      <c r="R10" s="5" t="n">
        <v>6.5</v>
      </c>
      <c r="S10" s="5" t="n">
        <v>-4.6</v>
      </c>
      <c r="T10" s="8" t="inlineStr"/>
    </row>
    <row r="11">
      <c r="A11" s="4" t="inlineStr">
        <is>
          <t>000030</t>
        </is>
      </c>
      <c r="B11" s="4" t="inlineStr">
        <is>
          <t>CA23-0008</t>
        </is>
      </c>
      <c r="C11" s="4" t="inlineStr">
        <is>
          <t>30-Year Naturally Dried Red Cedar</t>
        </is>
      </c>
      <c r="D11" s="4" t="n">
        <v>562</v>
      </c>
      <c r="E11" s="4" t="n">
        <v>205</v>
      </c>
      <c r="F11" s="5" t="n">
        <v>4</v>
      </c>
      <c r="G11" s="4" t="n">
        <v>148</v>
      </c>
      <c r="H11" s="5" t="n">
        <v>321.2</v>
      </c>
      <c r="I11" s="4" t="n">
        <v>303</v>
      </c>
      <c r="J11" s="5" t="n">
        <v>55.7</v>
      </c>
      <c r="K11" s="5" t="n">
        <v>1076.4</v>
      </c>
      <c r="L11" s="6" t="n">
        <v>0.0167</v>
      </c>
      <c r="M11" s="5" t="n">
        <v>188.2</v>
      </c>
      <c r="N11" s="5" t="n">
        <v>94.40000000000001</v>
      </c>
      <c r="O11" s="5" t="n">
        <v>5.8</v>
      </c>
      <c r="P11" s="5" t="n">
        <v>13.3</v>
      </c>
      <c r="Q11" s="5" t="n">
        <v>37.9</v>
      </c>
      <c r="R11" s="5" t="n">
        <v>8.9</v>
      </c>
      <c r="S11" s="5" t="n">
        <v>-4</v>
      </c>
      <c r="T11" s="8" t="inlineStr"/>
    </row>
    <row r="12">
      <c r="A12" s="4" t="inlineStr">
        <is>
          <t>000031</t>
        </is>
      </c>
      <c r="B12" s="4" t="inlineStr">
        <is>
          <t>CA23-0009</t>
        </is>
      </c>
      <c r="C12" s="4" t="inlineStr">
        <is>
          <t>30-Year Naturally Dried Red Cedar</t>
        </is>
      </c>
      <c r="D12" s="4" t="n">
        <v>561</v>
      </c>
      <c r="E12" s="4" t="n">
        <v>202</v>
      </c>
      <c r="F12" s="5" t="n">
        <v>3.9</v>
      </c>
      <c r="G12" s="4" t="n">
        <v>134</v>
      </c>
      <c r="H12" s="5" t="n">
        <v>303.2</v>
      </c>
      <c r="I12" s="4" t="n">
        <v>303</v>
      </c>
      <c r="J12" s="5" t="n">
        <v>56.8</v>
      </c>
      <c r="K12" s="5" t="n">
        <v>1120.3</v>
      </c>
      <c r="L12" s="6" t="n">
        <v>0.0157</v>
      </c>
      <c r="M12" s="5" t="n">
        <v>200</v>
      </c>
      <c r="N12" s="5" t="n">
        <v>92.09999999999999</v>
      </c>
      <c r="O12" s="5" t="n">
        <v>6</v>
      </c>
      <c r="P12" s="5" t="n">
        <v>14.7</v>
      </c>
      <c r="Q12" s="5" t="n">
        <v>36.7</v>
      </c>
      <c r="R12" s="5" t="n">
        <v>6.6</v>
      </c>
      <c r="S12" s="5" t="n">
        <v>-3.4</v>
      </c>
      <c r="T12" s="8" t="inlineStr"/>
    </row>
    <row r="13">
      <c r="A13" s="4" t="inlineStr">
        <is>
          <t>000032</t>
        </is>
      </c>
      <c r="B13" s="4" t="inlineStr">
        <is>
          <t>CA23-0010</t>
        </is>
      </c>
      <c r="C13" s="4" t="inlineStr">
        <is>
          <t>30-Year Naturally Dried Red Cedar</t>
        </is>
      </c>
      <c r="D13" s="4" t="n">
        <v>568</v>
      </c>
      <c r="E13" s="4" t="n">
        <v>204</v>
      </c>
      <c r="F13" s="5" t="n">
        <v>3.9</v>
      </c>
      <c r="G13" s="4" t="n">
        <v>138</v>
      </c>
      <c r="H13" s="5" t="n">
        <v>305.4</v>
      </c>
      <c r="I13" s="4" t="n">
        <v>307</v>
      </c>
      <c r="J13" s="5" t="n">
        <v>51.4</v>
      </c>
      <c r="K13" s="5" t="n">
        <v>1126.7</v>
      </c>
      <c r="L13" s="6" t="n">
        <v>0.0173</v>
      </c>
      <c r="M13" s="5" t="n">
        <v>182</v>
      </c>
      <c r="N13" s="5" t="n">
        <v>91.09999999999999</v>
      </c>
      <c r="O13" s="5" t="n">
        <v>5.2</v>
      </c>
      <c r="P13" s="5" t="n">
        <v>13.5</v>
      </c>
      <c r="Q13" s="5" t="n">
        <v>33.1</v>
      </c>
      <c r="R13" s="5" t="n">
        <v>6.8</v>
      </c>
      <c r="S13" s="5" t="n">
        <v>-3.4</v>
      </c>
      <c r="T13" s="8" t="inlineStr"/>
    </row>
    <row r="14">
      <c r="A14" s="4" t="inlineStr">
        <is>
          <t>000033</t>
        </is>
      </c>
      <c r="B14" s="4" t="inlineStr">
        <is>
          <t>CA2-0011</t>
        </is>
      </c>
      <c r="C14" s="4" t="inlineStr">
        <is>
          <t>30-Year Naturally Dried Red Cedar</t>
        </is>
      </c>
      <c r="D14" s="4" t="n">
        <v>528</v>
      </c>
      <c r="E14" s="4" t="n">
        <v>200</v>
      </c>
      <c r="F14" s="5" t="n">
        <v>4</v>
      </c>
      <c r="G14" s="4" t="n">
        <v>135</v>
      </c>
      <c r="H14" s="5" t="n">
        <v>319.6</v>
      </c>
      <c r="I14" s="4" t="n">
        <v>285</v>
      </c>
      <c r="J14" s="5" t="n">
        <v>66.09999999999999</v>
      </c>
      <c r="K14" s="5" t="n">
        <v>1167.3</v>
      </c>
      <c r="L14" s="6" t="n">
        <v>0.013</v>
      </c>
      <c r="M14" s="5" t="n">
        <v>242.6</v>
      </c>
      <c r="N14" s="5" t="n">
        <v>90.3</v>
      </c>
      <c r="O14" s="5" t="n">
        <v>6.4</v>
      </c>
      <c r="P14" s="5" t="n">
        <v>14</v>
      </c>
      <c r="Q14" s="5" t="n">
        <v>28.8</v>
      </c>
      <c r="R14" s="5" t="n">
        <v>5.3</v>
      </c>
      <c r="S14" s="5" t="n">
        <v>-5.7</v>
      </c>
      <c r="T14" s="8" t="inlineStr"/>
    </row>
    <row r="15">
      <c r="A15" s="4" t="inlineStr">
        <is>
          <t>000034</t>
        </is>
      </c>
      <c r="B15" s="4" t="inlineStr">
        <is>
          <t>CA2-0012</t>
        </is>
      </c>
      <c r="C15" s="4" t="inlineStr">
        <is>
          <t>30-Year Naturally Dried Red Cedar</t>
        </is>
      </c>
      <c r="D15" s="4" t="n">
        <v>524</v>
      </c>
      <c r="E15" s="4" t="n">
        <v>205</v>
      </c>
      <c r="F15" s="5" t="n">
        <v>4</v>
      </c>
      <c r="G15" s="4" t="n">
        <v>124</v>
      </c>
      <c r="H15" s="5" t="n">
        <v>288.6</v>
      </c>
      <c r="I15" s="4" t="n">
        <v>283</v>
      </c>
      <c r="J15" s="5" t="n">
        <v>61.6</v>
      </c>
      <c r="K15" s="5" t="n">
        <v>854.1</v>
      </c>
      <c r="L15" s="6" t="n">
        <v>0.019</v>
      </c>
      <c r="M15" s="5" t="n">
        <v>165.2</v>
      </c>
      <c r="N15" s="5" t="n">
        <v>91.5</v>
      </c>
      <c r="O15" s="5" t="n">
        <v>4.9</v>
      </c>
      <c r="P15" s="5" t="n">
        <v>14.2</v>
      </c>
      <c r="Q15" s="5" t="n">
        <v>27.9</v>
      </c>
      <c r="R15" s="5" t="n">
        <v>5.1</v>
      </c>
      <c r="S15" s="5" t="n">
        <v>-5.5</v>
      </c>
      <c r="T15" s="8" t="inlineStr"/>
    </row>
    <row r="16">
      <c r="A16" s="4" t="inlineStr">
        <is>
          <t>000035</t>
        </is>
      </c>
      <c r="B16" s="4" t="inlineStr">
        <is>
          <t>CA2-0013</t>
        </is>
      </c>
      <c r="C16" s="4" t="inlineStr">
        <is>
          <t>30-Year Naturally Dried Red Cedar</t>
        </is>
      </c>
      <c r="D16" s="4" t="n">
        <v>530</v>
      </c>
      <c r="E16" s="4" t="n">
        <v>206</v>
      </c>
      <c r="F16" s="5" t="n">
        <v>3.9</v>
      </c>
      <c r="G16" s="4" t="n">
        <v>136</v>
      </c>
      <c r="H16" s="5" t="n">
        <v>319.4</v>
      </c>
      <c r="I16" s="4" t="n">
        <v>286</v>
      </c>
      <c r="J16" s="5" t="n">
        <v>60.7</v>
      </c>
      <c r="K16" s="5" t="n">
        <v>1245.3</v>
      </c>
      <c r="L16" s="6" t="n">
        <v>0.0132</v>
      </c>
      <c r="M16" s="5" t="n">
        <v>237.5</v>
      </c>
      <c r="N16" s="5" t="n">
        <v>90</v>
      </c>
      <c r="O16" s="5" t="n">
        <v>5.8</v>
      </c>
      <c r="P16" s="5" t="n">
        <v>13.3</v>
      </c>
      <c r="Q16" s="5" t="n">
        <v>31.1</v>
      </c>
      <c r="R16" s="5" t="n">
        <v>7.1</v>
      </c>
      <c r="S16" s="5" t="n">
        <v>-4.3</v>
      </c>
      <c r="T16" s="8" t="inlineStr"/>
    </row>
    <row r="17">
      <c r="A17" s="4" t="inlineStr">
        <is>
          <t>000036</t>
        </is>
      </c>
      <c r="B17" s="4" t="inlineStr">
        <is>
          <t>CA2-0014</t>
        </is>
      </c>
      <c r="C17" s="4" t="inlineStr">
        <is>
          <t>30-Year Naturally Dried Red Cedar</t>
        </is>
      </c>
      <c r="D17" s="4" t="n">
        <v>530</v>
      </c>
      <c r="E17" s="4" t="n">
        <v>200</v>
      </c>
      <c r="F17" s="5" t="n">
        <v>3.4</v>
      </c>
      <c r="G17" s="4" t="n">
        <v>113</v>
      </c>
      <c r="H17" s="5" t="n">
        <v>313.5</v>
      </c>
      <c r="I17" s="4" t="n">
        <v>286</v>
      </c>
      <c r="J17" s="5" t="n">
        <v>57.7</v>
      </c>
      <c r="K17" s="5" t="n">
        <v>1130.5</v>
      </c>
      <c r="L17" s="6" t="n">
        <v>0.0153</v>
      </c>
      <c r="M17" s="5" t="n">
        <v>204.8</v>
      </c>
      <c r="N17" s="5" t="n">
        <v>93.09999999999999</v>
      </c>
      <c r="O17" s="5" t="n">
        <v>6.7</v>
      </c>
      <c r="P17" s="5" t="n">
        <v>14.7</v>
      </c>
      <c r="Q17" s="5" t="n">
        <v>28.9</v>
      </c>
      <c r="R17" s="5" t="n">
        <v>5</v>
      </c>
      <c r="S17" s="5" t="n">
        <v>-3.3</v>
      </c>
      <c r="T17" s="7" t="inlineStr">
        <is>
          <t>Radiation coefficient is visible on summary card and consistent with the detailed panel crop.</t>
        </is>
      </c>
    </row>
    <row r="18">
      <c r="A18" s="4" t="inlineStr">
        <is>
          <t>000037</t>
        </is>
      </c>
      <c r="B18" s="4" t="inlineStr">
        <is>
          <t>CA2-0015</t>
        </is>
      </c>
      <c r="C18" s="4" t="inlineStr">
        <is>
          <t>30-Year Naturally Dried Red Cedar</t>
        </is>
      </c>
      <c r="D18" s="4" t="n">
        <v>533</v>
      </c>
      <c r="E18" s="4" t="n">
        <v>200</v>
      </c>
      <c r="F18" s="5" t="n">
        <v>3.9</v>
      </c>
      <c r="G18" s="4" t="n">
        <v>123</v>
      </c>
      <c r="H18" s="5" t="n">
        <v>295.9</v>
      </c>
      <c r="I18" s="4" t="n">
        <v>288</v>
      </c>
      <c r="J18" s="5" t="n">
        <v>65.7</v>
      </c>
      <c r="K18" s="5" t="n">
        <v>1089.6</v>
      </c>
      <c r="L18" s="6" t="n">
        <v>0.014</v>
      </c>
      <c r="M18" s="5" t="n">
        <v>224.8</v>
      </c>
      <c r="N18" s="5" t="n">
        <v>94.59999999999999</v>
      </c>
      <c r="O18" s="5" t="n">
        <v>6.4</v>
      </c>
      <c r="P18" s="5" t="n">
        <v>15.7</v>
      </c>
      <c r="Q18" s="5" t="n">
        <v>26.2</v>
      </c>
      <c r="R18" s="5" t="n">
        <v>5.2</v>
      </c>
      <c r="S18" s="5" t="n">
        <v>-5.6</v>
      </c>
      <c r="T18" s="8" t="inlineStr"/>
    </row>
    <row r="19">
      <c r="A19" s="4" t="inlineStr">
        <is>
          <t>000038</t>
        </is>
      </c>
      <c r="B19" s="4" t="inlineStr">
        <is>
          <t>CA1-0016</t>
        </is>
      </c>
      <c r="C19" s="4" t="inlineStr">
        <is>
          <t>30-Year Naturally Dried Red Cedar</t>
        </is>
      </c>
      <c r="D19" s="4" t="n">
        <v>560</v>
      </c>
      <c r="E19" s="4" t="n">
        <v>209</v>
      </c>
      <c r="F19" s="5" t="n">
        <v>3.9</v>
      </c>
      <c r="G19" s="4" t="n">
        <v>150</v>
      </c>
      <c r="H19" s="5" t="n">
        <v>328.6</v>
      </c>
      <c r="I19" s="4" t="n">
        <v>302</v>
      </c>
      <c r="J19" s="5" t="n">
        <v>58</v>
      </c>
      <c r="K19" s="5" t="n">
        <v>1158.1</v>
      </c>
      <c r="L19" s="6" t="n">
        <v>0.0149</v>
      </c>
      <c r="M19" s="5" t="n">
        <v>211.2</v>
      </c>
      <c r="N19" s="5" t="n">
        <v>91.40000000000001</v>
      </c>
      <c r="O19" s="5" t="n">
        <v>6.7</v>
      </c>
      <c r="P19" s="5" t="n">
        <v>13.8</v>
      </c>
      <c r="Q19" s="5" t="n">
        <v>52.9</v>
      </c>
      <c r="R19" s="5" t="n">
        <v>7.9</v>
      </c>
      <c r="S19" s="5" t="n">
        <v>-3.2</v>
      </c>
      <c r="T19" s="8" t="inlineStr"/>
    </row>
    <row r="20">
      <c r="A20" s="4" t="inlineStr">
        <is>
          <t>000039</t>
        </is>
      </c>
      <c r="B20" s="4" t="inlineStr">
        <is>
          <t>CA1-0017</t>
        </is>
      </c>
      <c r="C20" s="4" t="inlineStr">
        <is>
          <t>30-Year Naturally Dried Red Cedar</t>
        </is>
      </c>
      <c r="D20" s="4" t="n">
        <v>560</v>
      </c>
      <c r="E20" s="4" t="n">
        <v>208</v>
      </c>
      <c r="F20" s="5" t="n">
        <v>4</v>
      </c>
      <c r="G20" s="4" t="n">
        <v>156</v>
      </c>
      <c r="H20" s="5" t="n">
        <v>334.8</v>
      </c>
      <c r="I20" s="4" t="n">
        <v>302</v>
      </c>
      <c r="J20" s="5" t="n">
        <v>60.5</v>
      </c>
      <c r="K20" s="5" t="n">
        <v>1127.2</v>
      </c>
      <c r="L20" s="6" t="n">
        <v>0.0147</v>
      </c>
      <c r="M20" s="5" t="n">
        <v>214.1</v>
      </c>
      <c r="N20" s="5" t="n">
        <v>94.7</v>
      </c>
      <c r="O20" s="5" t="n">
        <v>7.1</v>
      </c>
      <c r="P20" s="5" t="n">
        <v>13.7</v>
      </c>
      <c r="Q20" s="5" t="n">
        <v>26.8</v>
      </c>
      <c r="R20" s="5" t="n">
        <v>4.6</v>
      </c>
      <c r="S20" s="5" t="n">
        <v>-3.2</v>
      </c>
      <c r="T20" s="8" t="inlineStr"/>
    </row>
    <row r="21">
      <c r="A21" s="4" t="inlineStr">
        <is>
          <t>000040</t>
        </is>
      </c>
      <c r="B21" s="4" t="inlineStr">
        <is>
          <t>CA1-0018</t>
        </is>
      </c>
      <c r="C21" s="4" t="inlineStr">
        <is>
          <t>30-Year Naturally Dried Red Cedar</t>
        </is>
      </c>
      <c r="D21" s="4" t="n">
        <v>557</v>
      </c>
      <c r="E21" s="4" t="n">
        <v>205</v>
      </c>
      <c r="F21" s="5" t="n">
        <v>4</v>
      </c>
      <c r="G21" s="4" t="n">
        <v>157</v>
      </c>
      <c r="H21" s="5" t="n">
        <v>343.7</v>
      </c>
      <c r="I21" s="4" t="n">
        <v>301</v>
      </c>
      <c r="J21" s="5" t="n">
        <v>64.2</v>
      </c>
      <c r="K21" s="5" t="n">
        <v>1183.7</v>
      </c>
      <c r="L21" s="6" t="n">
        <v>0.0132</v>
      </c>
      <c r="M21" s="5" t="n">
        <v>238.6</v>
      </c>
      <c r="N21" s="5" t="n">
        <v>93</v>
      </c>
      <c r="O21" s="5" t="n">
        <v>8</v>
      </c>
      <c r="P21" s="5" t="n">
        <v>14</v>
      </c>
      <c r="Q21" s="5" t="n">
        <v>31.8</v>
      </c>
      <c r="R21" s="5" t="n">
        <v>6.5</v>
      </c>
      <c r="S21" s="5" t="n">
        <v>-5.3</v>
      </c>
      <c r="T21" s="8" t="inlineStr"/>
    </row>
  </sheetData>
  <mergeCells count="2">
    <mergeCell ref="A1:T1"/>
    <mergeCell ref="A2:T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9" t="inlineStr">
        <is>
          <t>30-Year Red Cedar Statistical Summary</t>
        </is>
      </c>
    </row>
    <row r="3">
      <c r="A3" s="10" t="inlineStr">
        <is>
          <t>Metric</t>
        </is>
      </c>
      <c r="B3" s="10" t="inlineStr">
        <is>
          <t>Minimum</t>
        </is>
      </c>
      <c r="C3" s="10" t="inlineStr">
        <is>
          <t>Average</t>
        </is>
      </c>
      <c r="D3" s="10" t="inlineStr">
        <is>
          <t>Maximum</t>
        </is>
      </c>
      <c r="E3" s="10" t="inlineStr">
        <is>
          <t>Std. Deviation</t>
        </is>
      </c>
    </row>
    <row r="4">
      <c r="A4" t="inlineStr">
        <is>
          <t>Density (kg/m³)</t>
        </is>
      </c>
      <c r="B4" s="11">
        <f>MIN('30-Year Red Cedar'!H5:H21)</f>
        <v/>
      </c>
      <c r="C4" s="11">
        <f>AVERAGE('30-Year Red Cedar'!H5:H21)</f>
        <v/>
      </c>
      <c r="D4" s="11">
        <f>MAX('30-Year Red Cedar'!H5:H21)</f>
        <v/>
      </c>
      <c r="E4" s="11">
        <f>STDEV.S('30-Year Red Cedar'!H5:H21)</f>
        <v/>
      </c>
    </row>
    <row r="5">
      <c r="A5" t="inlineStr">
        <is>
          <t>Resonance Frequency (Hz)</t>
        </is>
      </c>
      <c r="B5" s="11">
        <f>MIN('30-Year Red Cedar'!J5:J21)</f>
        <v/>
      </c>
      <c r="C5" s="11">
        <f>AVERAGE('30-Year Red Cedar'!J5:J21)</f>
        <v/>
      </c>
      <c r="D5" s="11">
        <f>MAX('30-Year Red Cedar'!J5:J21)</f>
        <v/>
      </c>
      <c r="E5" s="11">
        <f>STDEV.S('30-Year Red Cedar'!J5:J21)</f>
        <v/>
      </c>
    </row>
    <row r="6">
      <c r="A6" t="inlineStr">
        <is>
          <t>Q Factor / Sustain</t>
        </is>
      </c>
      <c r="B6" s="11">
        <f>MIN('30-Year Red Cedar'!M5:M21)</f>
        <v/>
      </c>
      <c r="C6" s="11">
        <f>AVERAGE('30-Year Red Cedar'!M5:M21)</f>
        <v/>
      </c>
      <c r="D6" s="11">
        <f>MAX('30-Year Red Cedar'!M5:M21)</f>
        <v/>
      </c>
      <c r="E6" s="11">
        <f>STDEV.S('30-Year Red Cedar'!M5:M21)</f>
        <v/>
      </c>
    </row>
    <row r="7">
      <c r="A7" t="inlineStr">
        <is>
          <t>Young's Modulus / Stiffness (GPa)</t>
        </is>
      </c>
      <c r="B7" s="11">
        <f>MIN('30-Year Red Cedar'!O5:O21)</f>
        <v/>
      </c>
      <c r="C7" s="11">
        <f>AVERAGE('30-Year Red Cedar'!O5:O21)</f>
        <v/>
      </c>
      <c r="D7" s="11">
        <f>MAX('30-Year Red Cedar'!O5:O21)</f>
        <v/>
      </c>
      <c r="E7" s="11">
        <f>STDEV.S('30-Year Red Cedar'!O5:O21)</f>
        <v/>
      </c>
    </row>
    <row r="8">
      <c r="A8" t="inlineStr">
        <is>
          <t>Radiation Coefficient</t>
        </is>
      </c>
      <c r="B8" s="11">
        <f>MIN('30-Year Red Cedar'!P5:P21)</f>
        <v/>
      </c>
      <c r="C8" s="11">
        <f>AVERAGE('30-Year Red Cedar'!P5:P21)</f>
        <v/>
      </c>
      <c r="D8" s="11">
        <f>MAX('30-Year Red Cedar'!P5:P21)</f>
        <v/>
      </c>
      <c r="E8" s="11">
        <f>STDEV.S('30-Year Red Cedar'!P5:P21)</f>
        <v/>
      </c>
    </row>
    <row r="10">
      <c r="A10" t="inlineStr">
        <is>
          <t>Sample Count</t>
        </is>
      </c>
      <c r="B10">
        <f>COUNTA('30-Year Red Cedar'!A5:A21)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8" customWidth="1" min="3" max="3"/>
    <col width="38" customWidth="1" min="4" max="4"/>
  </cols>
  <sheetData>
    <row r="1">
      <c r="A1" s="12" t="inlineStr">
        <is>
          <t>Screenshot Pairing Index</t>
        </is>
      </c>
    </row>
    <row r="3">
      <c r="A3" s="10" t="inlineStr">
        <is>
          <t>Sample ID</t>
        </is>
      </c>
      <c r="B3" s="10" t="inlineStr">
        <is>
          <t>Sample Name</t>
        </is>
      </c>
      <c r="C3" s="10" t="inlineStr">
        <is>
          <t>Summary Screenshot</t>
        </is>
      </c>
      <c r="D3" s="10" t="inlineStr">
        <is>
          <t>Detailed Screenshot</t>
        </is>
      </c>
    </row>
    <row r="4">
      <c r="A4" s="13" t="inlineStr">
        <is>
          <t>000024</t>
        </is>
      </c>
      <c r="B4" s="13" t="inlineStr">
        <is>
          <t>CA-00002</t>
        </is>
      </c>
      <c r="C4" s="13" t="inlineStr">
        <is>
          <t>Screenshot 2026-08-02 011628.png</t>
        </is>
      </c>
      <c r="D4" s="13" t="inlineStr">
        <is>
          <t>Screenshot 2026-08-02 011637.png</t>
        </is>
      </c>
    </row>
    <row r="5">
      <c r="A5" s="13" t="inlineStr">
        <is>
          <t>000025</t>
        </is>
      </c>
      <c r="B5" s="13" t="inlineStr">
        <is>
          <t>CA3-0003</t>
        </is>
      </c>
      <c r="C5" s="13" t="inlineStr">
        <is>
          <t>Screenshot 2026-08-02 012531.png</t>
        </is>
      </c>
      <c r="D5" s="13" t="inlineStr">
        <is>
          <t>Screenshot 2026-08-02 012618.png</t>
        </is>
      </c>
    </row>
    <row r="6">
      <c r="A6" s="13" t="inlineStr">
        <is>
          <t>000026</t>
        </is>
      </c>
      <c r="B6" s="13" t="inlineStr">
        <is>
          <t>CA3-0004</t>
        </is>
      </c>
      <c r="C6" s="13" t="inlineStr">
        <is>
          <t>Screenshot 2026-08-02 012649.png</t>
        </is>
      </c>
      <c r="D6" s="13" t="inlineStr">
        <is>
          <t>Screenshot 2026-08-02 012712.png</t>
        </is>
      </c>
    </row>
    <row r="7">
      <c r="A7" s="13" t="inlineStr">
        <is>
          <t>000027</t>
        </is>
      </c>
      <c r="B7" s="13" t="inlineStr">
        <is>
          <t>CA3-0005</t>
        </is>
      </c>
      <c r="C7" s="13" t="inlineStr">
        <is>
          <t>Screenshot 2026-08-02 013342.png</t>
        </is>
      </c>
      <c r="D7" s="13" t="inlineStr">
        <is>
          <t>Screenshot 2026-08-02 013410.png</t>
        </is>
      </c>
    </row>
    <row r="8">
      <c r="A8" s="13" t="inlineStr">
        <is>
          <t>000028</t>
        </is>
      </c>
      <c r="B8" s="13" t="inlineStr">
        <is>
          <t>CA23-0006</t>
        </is>
      </c>
      <c r="C8" s="13" t="inlineStr">
        <is>
          <t>Screenshot 2026-08-02 013418.png</t>
        </is>
      </c>
      <c r="D8" s="13" t="inlineStr">
        <is>
          <t>Screenshot 2026-08-02 013428.png</t>
        </is>
      </c>
    </row>
    <row r="9">
      <c r="A9" s="13" t="inlineStr">
        <is>
          <t>000029</t>
        </is>
      </c>
      <c r="B9" s="13" t="inlineStr">
        <is>
          <t>CA23-0007</t>
        </is>
      </c>
      <c r="C9" s="13" t="inlineStr">
        <is>
          <t>Screenshot 2026-08-02 013438.png</t>
        </is>
      </c>
      <c r="D9" s="13" t="inlineStr">
        <is>
          <t>Screenshot 2026-08-02 013450.png</t>
        </is>
      </c>
    </row>
    <row r="10">
      <c r="A10" s="13" t="inlineStr">
        <is>
          <t>000030</t>
        </is>
      </c>
      <c r="B10" s="13" t="inlineStr">
        <is>
          <t>CA23-0008</t>
        </is>
      </c>
      <c r="C10" s="13" t="inlineStr">
        <is>
          <t>Screenshot 2026-08-02 013458.png</t>
        </is>
      </c>
      <c r="D10" s="13" t="inlineStr">
        <is>
          <t>Screenshot 2026-08-02 013513.png</t>
        </is>
      </c>
    </row>
    <row r="11">
      <c r="A11" s="13" t="inlineStr">
        <is>
          <t>000031</t>
        </is>
      </c>
      <c r="B11" s="13" t="inlineStr">
        <is>
          <t>CA23-0009</t>
        </is>
      </c>
      <c r="C11" s="13" t="inlineStr">
        <is>
          <t>Screenshot 2026-08-02 013522.png</t>
        </is>
      </c>
      <c r="D11" s="13" t="inlineStr">
        <is>
          <t>Screenshot 2026-08-02 013535.png</t>
        </is>
      </c>
    </row>
    <row r="12">
      <c r="A12" s="13" t="inlineStr">
        <is>
          <t>000032</t>
        </is>
      </c>
      <c r="B12" s="13" t="inlineStr">
        <is>
          <t>CA23-0010</t>
        </is>
      </c>
      <c r="C12" s="13" t="inlineStr">
        <is>
          <t>Screenshot 2026-08-02 014059.png</t>
        </is>
      </c>
      <c r="D12" s="13" t="inlineStr">
        <is>
          <t>Screenshot 2026-08-02 014120.png</t>
        </is>
      </c>
    </row>
    <row r="13">
      <c r="A13" s="13" t="inlineStr">
        <is>
          <t>000033</t>
        </is>
      </c>
      <c r="B13" s="13" t="inlineStr">
        <is>
          <t>CA2-0011</t>
        </is>
      </c>
      <c r="C13" s="13" t="inlineStr">
        <is>
          <t>Screenshot 2026-08-02 014129.png</t>
        </is>
      </c>
      <c r="D13" s="13" t="inlineStr">
        <is>
          <t>Screenshot 2026-08-02 014141.png</t>
        </is>
      </c>
    </row>
    <row r="14">
      <c r="A14" s="13" t="inlineStr">
        <is>
          <t>000034</t>
        </is>
      </c>
      <c r="B14" s="13" t="inlineStr">
        <is>
          <t>CA2-0012</t>
        </is>
      </c>
      <c r="C14" s="13" t="inlineStr">
        <is>
          <t>Screenshot 2026-08-02 014151.png</t>
        </is>
      </c>
      <c r="D14" s="13" t="inlineStr">
        <is>
          <t>Screenshot 2026-08-02 014205.png</t>
        </is>
      </c>
    </row>
    <row r="15">
      <c r="A15" s="13" t="inlineStr">
        <is>
          <t>000035</t>
        </is>
      </c>
      <c r="B15" s="13" t="inlineStr">
        <is>
          <t>CA2-0013</t>
        </is>
      </c>
      <c r="C15" s="13" t="inlineStr">
        <is>
          <t>Screenshot 2026-08-02 014325.png</t>
        </is>
      </c>
      <c r="D15" s="13" t="inlineStr">
        <is>
          <t>Screenshot 2026-08-02 014413.png</t>
        </is>
      </c>
    </row>
    <row r="16">
      <c r="A16" s="13" t="inlineStr">
        <is>
          <t>000036</t>
        </is>
      </c>
      <c r="B16" s="13" t="inlineStr">
        <is>
          <t>CA2-0014</t>
        </is>
      </c>
      <c r="C16" s="13" t="inlineStr">
        <is>
          <t>Screenshot 2026-08-02 015243.png</t>
        </is>
      </c>
      <c r="D16" s="13" t="inlineStr">
        <is>
          <t>Screenshot 2026-08-02 015309.png</t>
        </is>
      </c>
    </row>
    <row r="17">
      <c r="A17" s="13" t="inlineStr">
        <is>
          <t>000037</t>
        </is>
      </c>
      <c r="B17" s="13" t="inlineStr">
        <is>
          <t>CA2-0015</t>
        </is>
      </c>
      <c r="C17" s="13" t="inlineStr">
        <is>
          <t>Screenshot 2026-08-02 015325.png</t>
        </is>
      </c>
      <c r="D17" s="13" t="inlineStr">
        <is>
          <t>Screenshot 2026-08-02 015348.png</t>
        </is>
      </c>
    </row>
    <row r="18">
      <c r="A18" s="13" t="inlineStr">
        <is>
          <t>000038</t>
        </is>
      </c>
      <c r="B18" s="13" t="inlineStr">
        <is>
          <t>CA1-0016</t>
        </is>
      </c>
      <c r="C18" s="13" t="inlineStr">
        <is>
          <t>Screenshot 2026-08-02 015401.png</t>
        </is>
      </c>
      <c r="D18" s="13" t="inlineStr">
        <is>
          <t>Screenshot 2026-08-02 015428.png</t>
        </is>
      </c>
    </row>
    <row r="19">
      <c r="A19" s="13" t="inlineStr">
        <is>
          <t>000039</t>
        </is>
      </c>
      <c r="B19" s="13" t="inlineStr">
        <is>
          <t>CA1-0017</t>
        </is>
      </c>
      <c r="C19" s="13" t="inlineStr">
        <is>
          <t>Screenshot 2026-08-02 015434.png</t>
        </is>
      </c>
      <c r="D19" s="13" t="inlineStr">
        <is>
          <t>Screenshot 2026-08-02 015446.png</t>
        </is>
      </c>
    </row>
    <row r="20">
      <c r="A20" s="13" t="inlineStr">
        <is>
          <t>000040</t>
        </is>
      </c>
      <c r="B20" s="13" t="inlineStr">
        <is>
          <t>CA1-0018</t>
        </is>
      </c>
      <c r="C20" s="13" t="inlineStr">
        <is>
          <t>Screenshot 2026-08-02 015723.png</t>
        </is>
      </c>
      <c r="D20" s="13" t="inlineStr">
        <is>
          <t>Screenshot 2026-08-02 015748.png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10" customWidth="1" min="2" max="2"/>
  </cols>
  <sheetData>
    <row r="1">
      <c r="A1" s="9" t="inlineStr">
        <is>
          <t>Dataset Notes</t>
        </is>
      </c>
    </row>
    <row r="3">
      <c r="A3" t="inlineStr">
        <is>
          <t>1.</t>
        </is>
      </c>
      <c r="B3" s="14" t="inlineStr">
        <is>
          <t>The detailed analyzer screens were used as the primary numerical source; summary cards were used for cross-checking.</t>
        </is>
      </c>
    </row>
    <row r="4">
      <c r="A4" t="inlineStr">
        <is>
          <t>2.</t>
        </is>
      </c>
      <c r="B4" s="14" t="inlineStr">
        <is>
          <t>The images expose plotted waveforms, amplitude spectra, and impulse responses, but not the underlying numeric series.</t>
        </is>
      </c>
    </row>
    <row r="5">
      <c r="A5" t="inlineStr">
        <is>
          <t>3.</t>
        </is>
      </c>
      <c r="B5" s="14" t="inlineStr">
        <is>
          <t>Environmental conditions, calibration records, microphone placement, and support tolerances are not visible in the screenshots.</t>
        </is>
      </c>
    </row>
    <row r="6">
      <c r="A6" t="inlineStr">
        <is>
          <t>4.</t>
        </is>
      </c>
      <c r="B6" s="14" t="inlineStr">
        <is>
          <t>Several sample-name prefixes are faint or unusually formatted. They are preserved as transcribed rather than silently normalized.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2026-08-02T07:08:47Z</dcterms:created>
  <dcterms:modified xmlns:dcterms="http://purl.org/dc/terms/" xmlns:xsi="http://www.w3.org/2001/XMLSchema-instance" xsi:type="dcterms:W3CDTF">2026-08-02T07:08:47Z</dcterms:modified>
</cp:coreProperties>
</file>